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eo" sheetId="1" state="visible" r:id="rId3"/>
    <sheet name="Equilibrio" sheetId="2" state="visible" r:id="rId4"/>
    <sheet name="Cámaras Ecogu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<sst xmlns="http://schemas.openxmlformats.org/spreadsheetml/2006/main" count="72" uniqueCount="71">
  <si>
    <t xml:space="preserve">EcoSolar — Costeo de Productos de Instalación Fotovoltaica</t>
  </si>
  <si>
    <t xml:space="preserve">Proveedor: Bramanic SpA (Casablanca) · Precios netos transferencia (-4%) · Mayo 2026</t>
  </si>
  <si>
    <t xml:space="preserve">COMPONENTE</t>
  </si>
  <si>
    <t xml:space="preserve">BÁSICO 4.3kW</t>
  </si>
  <si>
    <t xml:space="preserve">MEDIO 8kW</t>
  </si>
  <si>
    <t xml:space="preserve">SUPERIOR 12kW</t>
  </si>
  <si>
    <t xml:space="preserve">EQUIPOS SOLARES</t>
  </si>
  <si>
    <t xml:space="preserve">Paneles Trina 720W (cant.)</t>
  </si>
  <si>
    <t xml:space="preserve">Precio panel c/u (transf.)</t>
  </si>
  <si>
    <t xml:space="preserve">Subtotal paneles</t>
  </si>
  <si>
    <t xml:space="preserve">Inversor (transf.)</t>
  </si>
  <si>
    <t xml:space="preserve">Estructuras montaje (transf.)</t>
  </si>
  <si>
    <t xml:space="preserve">Batería litio (transf.)</t>
  </si>
  <si>
    <t xml:space="preserve">BALANCE OF SYSTEM (BoS)</t>
  </si>
  <si>
    <t xml:space="preserve">Protecciones DC</t>
  </si>
  <si>
    <t xml:space="preserve">Cables batería-inversor</t>
  </si>
  <si>
    <t xml:space="preserve">Cable solar PV + MC4</t>
  </si>
  <si>
    <t xml:space="preserve">Tablero + protección AC + SPD*</t>
  </si>
  <si>
    <t xml:space="preserve">Puesta a tierra*</t>
  </si>
  <si>
    <t xml:space="preserve">COSTO EQUIPOS TOTAL</t>
  </si>
  <si>
    <t xml:space="preserve">SUPUESTOS (editar celdas amarillas)</t>
  </si>
  <si>
    <t xml:space="preserve">Margen sobre equipos (%)</t>
  </si>
  <si>
    <t xml:space="preserve">Instalación sobre equipos (%)</t>
  </si>
  <si>
    <t xml:space="preserve">IVA (%)</t>
  </si>
  <si>
    <t xml:space="preserve">PRECIO DE VENTA</t>
  </si>
  <si>
    <t xml:space="preserve">Margen equipos ($)</t>
  </si>
  <si>
    <t xml:space="preserve">Instalación ($)</t>
  </si>
  <si>
    <t xml:space="preserve">VENTA NETA</t>
  </si>
  <si>
    <t xml:space="preserve">IVA</t>
  </si>
  <si>
    <t xml:space="preserve">PRECIO FINAL CON IVA</t>
  </si>
  <si>
    <t xml:space="preserve">PRECIO PUBLICADO EN PÁGINA WEB</t>
  </si>
  <si>
    <t xml:space="preserve">Diferencia (publicado − calculado)</t>
  </si>
  <si>
    <t xml:space="preserve">* Tablero/protección AC y puesta a tierra no los surte Bramanic (otro proveedor eléctrico).</t>
  </si>
  <si>
    <t xml:space="preserve">Punto de Equilibrio del Negocio</t>
  </si>
  <si>
    <t xml:space="preserve">CONCEPTO</t>
  </si>
  <si>
    <t xml:space="preserve">BÁSICO</t>
  </si>
  <si>
    <t xml:space="preserve">MEDIO</t>
  </si>
  <si>
    <t xml:space="preserve">SUPERIOR</t>
  </si>
  <si>
    <t xml:space="preserve">Ingreso instalación ($)</t>
  </si>
  <si>
    <t xml:space="preserve">(-) Costo real de instalar</t>
  </si>
  <si>
    <t xml:space="preserve">UTILIDAD OPERACIONAL / VENTA</t>
  </si>
  <si>
    <t xml:space="preserve">Costos fijos mensuales</t>
  </si>
  <si>
    <t xml:space="preserve">ESCENARIO POR MIX DE VENTAS</t>
  </si>
  <si>
    <t xml:space="preserve">Mix de ventas (% por tier)</t>
  </si>
  <si>
    <t xml:space="preserve">Utilidad promedio ponderada / venta</t>
  </si>
  <si>
    <t xml:space="preserve">VENTAS/MES PARA EQUILIBRIO</t>
  </si>
  <si>
    <t xml:space="preserve">(redondear hacia arriba a entero)</t>
  </si>
  <si>
    <t xml:space="preserve">EQUILIBRIO SI VENDES SOLO UN TIER</t>
  </si>
  <si>
    <t xml:space="preserve">Ventas/mes (un solo tier)</t>
  </si>
  <si>
    <t xml:space="preserve">Edita las celdas amarillas (costo instalar, costos fijos, mix) y todo se recalcula.</t>
  </si>
  <si>
    <t xml:space="preserve">Ecoguard — Cámara Dahua Dual-Lens Solar PTZ 4G</t>
  </si>
  <si>
    <t xml:space="preserve">Costeo por unidad · IVA incluido · Mayo 2026</t>
  </si>
  <si>
    <t xml:space="preserve">INSUMOS (costo unitario)</t>
  </si>
  <si>
    <t xml:space="preserve">Cámara Dahua Dual-Lens Solar PTZ 4G</t>
  </si>
  <si>
    <t xml:space="preserve">MicroSD 256GB</t>
  </si>
  <si>
    <t xml:space="preserve">SIM de compañía (pago único)</t>
  </si>
  <si>
    <t xml:space="preserve">COSTO INSUMOS TOTAL</t>
  </si>
  <si>
    <t xml:space="preserve">Costo poste 75×75 instalado</t>
  </si>
  <si>
    <t xml:space="preserve">Costo real instalación (mano obra/transporte)</t>
  </si>
  <si>
    <t xml:space="preserve">PRODUCTOS</t>
  </si>
  <si>
    <t xml:space="preserve">A · Estándar</t>
  </si>
  <si>
    <t xml:space="preserve">B · Con poste</t>
  </si>
  <si>
    <t xml:space="preserve">Precio de venta (IVA incl.)</t>
  </si>
  <si>
    <t xml:space="preserve">(-) Costo insumos</t>
  </si>
  <si>
    <t xml:space="preserve">(-) Costo poste</t>
  </si>
  <si>
    <t xml:space="preserve">MARGEN BRUTO</t>
  </si>
  <si>
    <t xml:space="preserve">(-) Costo instalación</t>
  </si>
  <si>
    <t xml:space="preserve">UTILIDAD NETA / UNIDAD</t>
  </si>
  <si>
    <t xml:space="preserve">Margen % sobre venta</t>
  </si>
  <si>
    <t xml:space="preserve">Edita celdas amarillas (poste, instalación) y azules (precios). Margen % se calcula sobre margen bruto.</t>
  </si>
  <si>
    <t xml:space="preserve">Nota: con poste a $120k el margen % iguala al estándar. Subir precio B a ~$750k para mejor rentabilidad.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</si>
</sst>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;&quot;($&quot;#,##0\);\-"/>
    <numFmt numFmtId="167" formatCode="0.0%"/>
    <numFmt numFmtId="168" formatCode="#,##0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DE7"/>
      </patternFill>
    </fill>
    <fill>
      <patternFill patternType="solid">
        <fgColor rgb="FF548235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5"/>
      <c r="C5" s="5"/>
      <c r="D5" s="5"/>
    </row>
    <row r="6" customFormat="false" ht="15" hidden="false" customHeight="true" outlineLevel="0" collapsed="false">
      <c r="A6" s="6" t="s">
        <v>7</v>
      </c>
      <c r="B6" s="7" t="n">
        <v>6</v>
      </c>
      <c r="C6" s="7" t="n">
        <v>11</v>
      </c>
      <c r="D6" s="7" t="n">
        <v>17</v>
      </c>
    </row>
    <row r="7" customFormat="false" ht="15" hidden="false" customHeight="true" outlineLevel="0" collapsed="false">
      <c r="A7" s="6" t="s">
        <v>8</v>
      </c>
      <c r="B7" s="8" t="n">
        <v>123840</v>
      </c>
      <c r="C7" s="8" t="n">
        <v>123840</v>
      </c>
      <c r="D7" s="8" t="n">
        <v>123840</v>
      </c>
    </row>
    <row r="8" customFormat="false" ht="15" hidden="false" customHeight="true" outlineLevel="0" collapsed="false">
      <c r="A8" s="9" t="s">
        <v>9</v>
      </c>
      <c r="B8" s="10" t="n">
        <f aca="false">B6*B7</f>
        <v>743040</v>
      </c>
      <c r="C8" s="10" t="n">
        <f aca="false">C6*C7</f>
        <v>1362240</v>
      </c>
      <c r="D8" s="10" t="n">
        <f aca="false">D6*D7</f>
        <v>2105280</v>
      </c>
    </row>
    <row r="9" customFormat="false" ht="15" hidden="false" customHeight="true" outlineLevel="0" collapsed="false">
      <c r="A9" s="6" t="s">
        <v>10</v>
      </c>
      <c r="B9" s="8" t="n">
        <v>507840</v>
      </c>
      <c r="C9" s="8" t="n">
        <v>393600</v>
      </c>
      <c r="D9" s="8" t="n">
        <v>393600</v>
      </c>
    </row>
    <row r="10" customFormat="false" ht="15" hidden="false" customHeight="true" outlineLevel="0" collapsed="false">
      <c r="A10" s="6" t="s">
        <v>11</v>
      </c>
      <c r="B10" s="8" t="n">
        <v>83424</v>
      </c>
      <c r="C10" s="8" t="n">
        <v>192528</v>
      </c>
      <c r="D10" s="8" t="n">
        <v>369744</v>
      </c>
    </row>
    <row r="11" customFormat="false" ht="15" hidden="false" customHeight="true" outlineLevel="0" collapsed="false">
      <c r="A11" s="6" t="s">
        <v>12</v>
      </c>
      <c r="B11" s="8" t="n">
        <v>747840</v>
      </c>
      <c r="C11" s="8" t="n">
        <v>1439040</v>
      </c>
      <c r="D11" s="8" t="n">
        <v>2878080</v>
      </c>
    </row>
    <row r="12" customFormat="false" ht="15" hidden="false" customHeight="true" outlineLevel="0" collapsed="false">
      <c r="A12" s="5" t="s">
        <v>13</v>
      </c>
      <c r="B12" s="5"/>
      <c r="C12" s="5"/>
      <c r="D12" s="5"/>
    </row>
    <row r="13" customFormat="false" ht="15" hidden="false" customHeight="true" outlineLevel="0" collapsed="false">
      <c r="A13" s="6" t="s">
        <v>14</v>
      </c>
      <c r="B13" s="8" t="n">
        <v>27000</v>
      </c>
      <c r="C13" s="8" t="n">
        <v>41000</v>
      </c>
      <c r="D13" s="8" t="n">
        <v>55000</v>
      </c>
    </row>
    <row r="14" customFormat="false" ht="15" hidden="false" customHeight="true" outlineLevel="0" collapsed="false">
      <c r="A14" s="6" t="s">
        <v>15</v>
      </c>
      <c r="B14" s="8" t="n">
        <v>28900</v>
      </c>
      <c r="C14" s="8" t="n">
        <v>32000</v>
      </c>
      <c r="D14" s="8" t="n">
        <v>64000</v>
      </c>
    </row>
    <row r="15" customFormat="false" ht="15" hidden="false" customHeight="true" outlineLevel="0" collapsed="false">
      <c r="A15" s="6" t="s">
        <v>16</v>
      </c>
      <c r="B15" s="8" t="n">
        <v>28200</v>
      </c>
      <c r="C15" s="8" t="n">
        <v>36900</v>
      </c>
      <c r="D15" s="8" t="n">
        <v>65100</v>
      </c>
    </row>
    <row r="16" customFormat="false" ht="15" hidden="false" customHeight="true" outlineLevel="0" collapsed="false">
      <c r="A16" s="6" t="s">
        <v>17</v>
      </c>
      <c r="B16" s="8" t="n">
        <v>60000</v>
      </c>
      <c r="C16" s="8" t="n">
        <v>80000</v>
      </c>
      <c r="D16" s="8" t="n">
        <v>110000</v>
      </c>
    </row>
    <row r="17" customFormat="false" ht="15" hidden="false" customHeight="true" outlineLevel="0" collapsed="false">
      <c r="A17" s="6" t="s">
        <v>18</v>
      </c>
      <c r="B17" s="8" t="n">
        <v>25000</v>
      </c>
      <c r="C17" s="8" t="n">
        <v>30000</v>
      </c>
      <c r="D17" s="8" t="n">
        <v>40000</v>
      </c>
    </row>
    <row r="18" customFormat="false" ht="15" hidden="false" customHeight="true" outlineLevel="0" collapsed="false">
      <c r="A18" s="11" t="s">
        <v>19</v>
      </c>
      <c r="B18" s="12" t="n">
        <f aca="false">B8+B9+B10+B11+SUM(B13:B17)</f>
        <v>2251244</v>
      </c>
      <c r="C18" s="12" t="n">
        <f aca="false">C8+C9+C10+C11+SUM(C13:C17)</f>
        <v>3607308</v>
      </c>
      <c r="D18" s="12" t="n">
        <f aca="false">D8+D9+D10+D11+SUM(D13:D17)</f>
        <v>6080804</v>
      </c>
    </row>
    <row r="20" customFormat="false" ht="15" hidden="false" customHeight="true" outlineLevel="0" collapsed="false">
      <c r="A20" s="13" t="s">
        <v>20</v>
      </c>
      <c r="B20" s="13"/>
      <c r="C20" s="13"/>
      <c r="D20" s="13"/>
    </row>
    <row r="21" customFormat="false" ht="15" hidden="false" customHeight="true" outlineLevel="0" collapsed="false">
      <c r="A21" s="6" t="s">
        <v>21</v>
      </c>
      <c r="B21" s="14" t="n">
        <v>0.1</v>
      </c>
      <c r="C21" s="14" t="n">
        <v>0.1</v>
      </c>
      <c r="D21" s="14" t="n">
        <v>0.1</v>
      </c>
    </row>
    <row r="22" customFormat="false" ht="15" hidden="false" customHeight="true" outlineLevel="0" collapsed="false">
      <c r="A22" s="6" t="s">
        <v>22</v>
      </c>
      <c r="B22" s="14" t="n">
        <v>0.2</v>
      </c>
      <c r="C22" s="14" t="n">
        <v>0.2</v>
      </c>
      <c r="D22" s="14" t="n">
        <v>0.2</v>
      </c>
    </row>
    <row r="23" customFormat="false" ht="15" hidden="false" customHeight="true" outlineLevel="0" collapsed="false">
      <c r="A23" s="6" t="s">
        <v>23</v>
      </c>
      <c r="B23" s="14" t="n">
        <v>0.19</v>
      </c>
      <c r="C23" s="14" t="n">
        <v>0.19</v>
      </c>
      <c r="D23" s="14" t="n">
        <v>0.19</v>
      </c>
    </row>
    <row r="25" customFormat="false" ht="15" hidden="false" customHeight="true" outlineLevel="0" collapsed="false">
      <c r="A25" s="5" t="s">
        <v>24</v>
      </c>
      <c r="B25" s="5"/>
      <c r="C25" s="5"/>
      <c r="D25" s="5"/>
    </row>
    <row r="26" customFormat="false" ht="15" hidden="false" customHeight="true" outlineLevel="0" collapsed="false">
      <c r="A26" s="6" t="s">
        <v>25</v>
      </c>
      <c r="B26" s="10" t="n">
        <f aca="false">B18*B21</f>
        <v>225124.4</v>
      </c>
      <c r="C26" s="10" t="n">
        <f aca="false">C18*C21</f>
        <v>360730.8</v>
      </c>
      <c r="D26" s="10" t="n">
        <f aca="false">D18*D21</f>
        <v>608080.4</v>
      </c>
    </row>
    <row r="27" customFormat="false" ht="15" hidden="false" customHeight="true" outlineLevel="0" collapsed="false">
      <c r="A27" s="6" t="s">
        <v>26</v>
      </c>
      <c r="B27" s="10" t="n">
        <f aca="false">B18*B22</f>
        <v>450248.8</v>
      </c>
      <c r="C27" s="10" t="n">
        <f aca="false">C18*C22</f>
        <v>721461.6</v>
      </c>
      <c r="D27" s="10" t="n">
        <f aca="false">D18*D22</f>
        <v>1216160.8</v>
      </c>
    </row>
    <row r="28" customFormat="false" ht="15" hidden="false" customHeight="true" outlineLevel="0" collapsed="false">
      <c r="A28" s="9" t="s">
        <v>27</v>
      </c>
      <c r="B28" s="12" t="n">
        <f aca="false">B18+B26+B27</f>
        <v>2926617.2</v>
      </c>
      <c r="C28" s="12" t="n">
        <f aca="false">C18+C26+C27</f>
        <v>4689500.4</v>
      </c>
      <c r="D28" s="12" t="n">
        <f aca="false">D18+D26+D27</f>
        <v>7905045.2</v>
      </c>
    </row>
    <row r="29" customFormat="false" ht="15" hidden="false" customHeight="true" outlineLevel="0" collapsed="false">
      <c r="A29" s="6" t="s">
        <v>28</v>
      </c>
      <c r="B29" s="10" t="n">
        <f aca="false">B28*B23</f>
        <v>556057.268</v>
      </c>
      <c r="C29" s="10" t="n">
        <f aca="false">C28*C23</f>
        <v>891005.076</v>
      </c>
      <c r="D29" s="10" t="n">
        <f aca="false">D28*D23</f>
        <v>1501958.588</v>
      </c>
    </row>
    <row r="30" customFormat="false" ht="15" hidden="false" customHeight="true" outlineLevel="0" collapsed="false">
      <c r="A30" s="9" t="s">
        <v>29</v>
      </c>
      <c r="B30" s="15" t="n">
        <f aca="false">B28+B29</f>
        <v>3482674.468</v>
      </c>
      <c r="C30" s="15" t="n">
        <f aca="false">C28+C29</f>
        <v>5580505.476</v>
      </c>
      <c r="D30" s="15" t="n">
        <f aca="false">D28+D29</f>
        <v>9407003.788</v>
      </c>
    </row>
    <row r="31" customFormat="false" ht="15" hidden="false" customHeight="false" outlineLevel="0" collapsed="false">
      <c r="A31" s="16" t="s">
        <v>30</v>
      </c>
      <c r="B31" s="17" t="n">
        <v>3490000</v>
      </c>
      <c r="C31" s="17" t="n">
        <v>5490000</v>
      </c>
      <c r="D31" s="17" t="n">
        <v>9490000</v>
      </c>
    </row>
    <row r="32" customFormat="false" ht="15" hidden="false" customHeight="true" outlineLevel="0" collapsed="false">
      <c r="A32" s="18" t="s">
        <v>31</v>
      </c>
      <c r="B32" s="18" t="n">
        <f aca="false">B31-B30</f>
        <v>7325.53199999966</v>
      </c>
      <c r="C32" s="18" t="n">
        <f aca="false">C31-C30</f>
        <v>-90505.4760000007</v>
      </c>
      <c r="D32" s="18" t="n">
        <f aca="false">D31-D30</f>
        <v>82996.2119999994</v>
      </c>
    </row>
    <row r="34" customFormat="false" ht="15" hidden="false" customHeight="false" outlineLevel="0" collapsed="false">
      <c r="A34" s="19" t="s">
        <v>32</v>
      </c>
    </row>
  </sheetData>
  <mergeCells count="7">
    <mergeCell ref="A1:D1"/>
    <mergeCell ref="A2:D2"/>
    <mergeCell ref="A5:D5"/>
    <mergeCell ref="A12:D12"/>
    <mergeCell ref="A20:D20"/>
    <mergeCell ref="A25:D25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3"/>
  </cols>
  <sheetData>
    <row r="1" customFormat="false" ht="25.5" hidden="false" customHeight="true" outlineLevel="0" collapsed="false">
      <c r="A1" s="2" t="s">
        <v>33</v>
      </c>
      <c r="B1" s="2"/>
      <c r="C1" s="2"/>
      <c r="D1" s="2"/>
    </row>
    <row r="3" customFormat="false" ht="15" hidden="false" customHeight="true" outlineLevel="0" collapsed="false">
      <c r="A3" s="4" t="s">
        <v>34</v>
      </c>
      <c r="B3" s="4" t="s">
        <v>35</v>
      </c>
      <c r="C3" s="4" t="s">
        <v>36</v>
      </c>
      <c r="D3" s="4" t="s">
        <v>37</v>
      </c>
    </row>
    <row r="4" customFormat="false" ht="15" hidden="false" customHeight="true" outlineLevel="0" collapsed="false">
      <c r="A4" s="6" t="s">
        <v>25</v>
      </c>
      <c r="B4" s="20" t="n">
        <f aca="false">Costeo!B26</f>
        <v>225124.4</v>
      </c>
      <c r="C4" s="20" t="n">
        <f aca="false">Costeo!C26</f>
        <v>360730.8</v>
      </c>
      <c r="D4" s="20" t="n">
        <f aca="false">Costeo!D26</f>
        <v>608080.4</v>
      </c>
    </row>
    <row r="5" customFormat="false" ht="15" hidden="false" customHeight="true" outlineLevel="0" collapsed="false">
      <c r="A5" s="6" t="s">
        <v>38</v>
      </c>
      <c r="B5" s="20" t="n">
        <f aca="false">Costeo!B27</f>
        <v>450248.8</v>
      </c>
      <c r="C5" s="20" t="n">
        <f aca="false">Costeo!C27</f>
        <v>721461.6</v>
      </c>
      <c r="D5" s="20" t="n">
        <f aca="false">Costeo!D27</f>
        <v>1216160.8</v>
      </c>
    </row>
    <row r="6" customFormat="false" ht="15" hidden="false" customHeight="true" outlineLevel="0" collapsed="false">
      <c r="A6" s="6" t="s">
        <v>39</v>
      </c>
      <c r="B6" s="21" t="n">
        <v>300000</v>
      </c>
      <c r="C6" s="21" t="n">
        <v>300000</v>
      </c>
      <c r="D6" s="21" t="n">
        <v>300000</v>
      </c>
    </row>
    <row r="7" customFormat="false" ht="15" hidden="false" customHeight="true" outlineLevel="0" collapsed="false">
      <c r="A7" s="9" t="s">
        <v>40</v>
      </c>
      <c r="B7" s="12" t="n">
        <f aca="false">B4+B5-B6</f>
        <v>375373.2</v>
      </c>
      <c r="C7" s="12" t="n">
        <f aca="false">C4+C5-C6</f>
        <v>782192.4</v>
      </c>
      <c r="D7" s="12" t="n">
        <f aca="false">D4+D5-D6</f>
        <v>1524241.2</v>
      </c>
    </row>
    <row r="9" customFormat="false" ht="15" hidden="false" customHeight="true" outlineLevel="0" collapsed="false">
      <c r="A9" s="9" t="s">
        <v>41</v>
      </c>
      <c r="B9" s="21" t="n">
        <v>2000000</v>
      </c>
    </row>
    <row r="11" customFormat="false" ht="15" hidden="false" customHeight="true" outlineLevel="0" collapsed="false">
      <c r="A11" s="5" t="s">
        <v>42</v>
      </c>
      <c r="B11" s="5"/>
      <c r="C11" s="5"/>
      <c r="D11" s="5"/>
    </row>
    <row r="12" customFormat="false" ht="15" hidden="false" customHeight="true" outlineLevel="0" collapsed="false">
      <c r="A12" s="6" t="s">
        <v>43</v>
      </c>
      <c r="B12" s="14" t="n">
        <v>0.333333333333333</v>
      </c>
      <c r="C12" s="14" t="n">
        <v>0.333333333333333</v>
      </c>
      <c r="D12" s="14" t="n">
        <v>0.333333333333333</v>
      </c>
    </row>
    <row r="13" customFormat="false" ht="15" hidden="false" customHeight="true" outlineLevel="0" collapsed="false">
      <c r="A13" s="9" t="s">
        <v>44</v>
      </c>
      <c r="B13" s="22" t="n">
        <f aca="false">B7*B12+C7*C12+D7*D12</f>
        <v>893935.599999999</v>
      </c>
      <c r="C13" s="22"/>
      <c r="D13" s="22"/>
    </row>
    <row r="14" customFormat="false" ht="15" hidden="false" customHeight="true" outlineLevel="0" collapsed="false">
      <c r="A14" s="23" t="s">
        <v>45</v>
      </c>
      <c r="B14" s="24" t="n">
        <f aca="false">B9/B13</f>
        <v>2.23729763083605</v>
      </c>
      <c r="C14" s="24"/>
      <c r="D14" s="24"/>
    </row>
    <row r="15" customFormat="false" ht="15" hidden="false" customHeight="true" outlineLevel="0" collapsed="false">
      <c r="A15" s="19" t="s">
        <v>46</v>
      </c>
    </row>
    <row r="17" customFormat="false" ht="15" hidden="false" customHeight="true" outlineLevel="0" collapsed="false">
      <c r="A17" s="5" t="s">
        <v>47</v>
      </c>
      <c r="B17" s="5"/>
      <c r="C17" s="5"/>
      <c r="D17" s="5"/>
    </row>
    <row r="18" customFormat="false" ht="15" hidden="false" customHeight="true" outlineLevel="0" collapsed="false">
      <c r="A18" s="6" t="s">
        <v>48</v>
      </c>
      <c r="B18" s="25" t="n">
        <f aca="false">$B$9/B7</f>
        <v>5.32803087700454</v>
      </c>
      <c r="C18" s="25" t="n">
        <f aca="false">$B$9/C7</f>
        <v>2.55691566422788</v>
      </c>
      <c r="D18" s="25" t="n">
        <f aca="false">$B$9/D7</f>
        <v>1.31212829045692</v>
      </c>
    </row>
    <row r="20" customFormat="false" ht="15" hidden="false" customHeight="true" outlineLevel="0" collapsed="false">
      <c r="A20" s="26" t="s">
        <v>49</v>
      </c>
      <c r="B20" s="26"/>
      <c r="C20" s="26"/>
      <c r="D20" s="26"/>
    </row>
  </sheetData>
  <mergeCells count="6">
    <mergeCell ref="A1:D1"/>
    <mergeCell ref="A11:D11"/>
    <mergeCell ref="B13:D13"/>
    <mergeCell ref="B14:D14"/>
    <mergeCell ref="A17:D17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8"/>
    <col collapsed="false" customWidth="true" hidden="false" outlineLevel="0" max="4" min="4" style="1" width="3"/>
  </cols>
  <sheetData>
    <row r="1" customFormat="false" ht="25.5" hidden="false" customHeight="true" outlineLevel="0" collapsed="false">
      <c r="A1" s="2" t="s">
        <v>50</v>
      </c>
      <c r="B1" s="2"/>
      <c r="C1" s="2"/>
    </row>
    <row r="2" customFormat="false" ht="15" hidden="false" customHeight="true" outlineLevel="0" collapsed="false">
      <c r="A2" s="3" t="s">
        <v>51</v>
      </c>
      <c r="B2" s="3"/>
      <c r="C2" s="3"/>
    </row>
    <row r="4" customFormat="false" ht="15" hidden="false" customHeight="true" outlineLevel="0" collapsed="false">
      <c r="A4" s="5" t="s">
        <v>52</v>
      </c>
      <c r="B4" s="5"/>
      <c r="C4" s="5"/>
    </row>
    <row r="5" customFormat="false" ht="15" hidden="false" customHeight="true" outlineLevel="0" collapsed="false">
      <c r="A5" s="6" t="s">
        <v>53</v>
      </c>
      <c r="B5" s="8" t="n">
        <v>269900</v>
      </c>
      <c r="C5" s="27"/>
    </row>
    <row r="6" customFormat="false" ht="15" hidden="false" customHeight="true" outlineLevel="0" collapsed="false">
      <c r="A6" s="6" t="s">
        <v>54</v>
      </c>
      <c r="B6" s="8" t="n">
        <v>35000</v>
      </c>
      <c r="C6" s="27"/>
    </row>
    <row r="7" customFormat="false" ht="15" hidden="false" customHeight="true" outlineLevel="0" collapsed="false">
      <c r="A7" s="6" t="s">
        <v>55</v>
      </c>
      <c r="B7" s="8" t="n">
        <v>4000</v>
      </c>
      <c r="C7" s="27"/>
    </row>
    <row r="8" customFormat="false" ht="15" hidden="false" customHeight="true" outlineLevel="0" collapsed="false">
      <c r="A8" s="11" t="s">
        <v>56</v>
      </c>
      <c r="B8" s="12" t="n">
        <f aca="false">SUM(B5:B7)</f>
        <v>308900</v>
      </c>
      <c r="C8" s="28"/>
    </row>
    <row r="10" customFormat="false" ht="15" hidden="false" customHeight="true" outlineLevel="0" collapsed="false">
      <c r="A10" s="9" t="s">
        <v>57</v>
      </c>
      <c r="B10" s="21" t="n">
        <v>120000</v>
      </c>
    </row>
    <row r="11" customFormat="false" ht="15" hidden="false" customHeight="true" outlineLevel="0" collapsed="false">
      <c r="A11" s="9" t="s">
        <v>58</v>
      </c>
      <c r="B11" s="21" t="n">
        <v>50000</v>
      </c>
    </row>
    <row r="13" customFormat="false" ht="15" hidden="false" customHeight="true" outlineLevel="0" collapsed="false">
      <c r="A13" s="4" t="s">
        <v>59</v>
      </c>
      <c r="B13" s="4" t="s">
        <v>60</v>
      </c>
      <c r="C13" s="4" t="s">
        <v>61</v>
      </c>
    </row>
    <row r="14" customFormat="false" ht="15" hidden="false" customHeight="true" outlineLevel="0" collapsed="false">
      <c r="A14" s="9" t="s">
        <v>62</v>
      </c>
      <c r="B14" s="8" t="n">
        <v>490000</v>
      </c>
      <c r="C14" s="8" t="n">
        <v>690000</v>
      </c>
    </row>
    <row r="15" customFormat="false" ht="15" hidden="false" customHeight="true" outlineLevel="0" collapsed="false">
      <c r="A15" s="6" t="s">
        <v>63</v>
      </c>
      <c r="B15" s="10" t="n">
        <f aca="false">-B8</f>
        <v>-308900</v>
      </c>
      <c r="C15" s="10" t="n">
        <f aca="false">-B8</f>
        <v>-308900</v>
      </c>
    </row>
    <row r="16" customFormat="false" ht="15" hidden="false" customHeight="true" outlineLevel="0" collapsed="false">
      <c r="A16" s="6" t="s">
        <v>64</v>
      </c>
      <c r="B16" s="10" t="n">
        <v>0</v>
      </c>
      <c r="C16" s="10" t="n">
        <f aca="false">-B10</f>
        <v>-120000</v>
      </c>
    </row>
    <row r="17" customFormat="false" ht="15" hidden="false" customHeight="true" outlineLevel="0" collapsed="false">
      <c r="A17" s="11" t="s">
        <v>65</v>
      </c>
      <c r="B17" s="12" t="n">
        <f aca="false">SUM(B14:B16)</f>
        <v>181100</v>
      </c>
      <c r="C17" s="12" t="n">
        <f aca="false">SUM(C14:C16)</f>
        <v>261100</v>
      </c>
    </row>
    <row r="18" customFormat="false" ht="15" hidden="false" customHeight="true" outlineLevel="0" collapsed="false">
      <c r="A18" s="6" t="s">
        <v>66</v>
      </c>
      <c r="B18" s="10" t="n">
        <f aca="false">-B11</f>
        <v>-50000</v>
      </c>
      <c r="C18" s="10" t="n">
        <f aca="false">-B11</f>
        <v>-50000</v>
      </c>
    </row>
    <row r="19" customFormat="false" ht="15" hidden="false" customHeight="true" outlineLevel="0" collapsed="false">
      <c r="A19" s="29" t="s">
        <v>67</v>
      </c>
      <c r="B19" s="15" t="n">
        <f aca="false">B17+B18</f>
        <v>131100</v>
      </c>
      <c r="C19" s="15" t="n">
        <f aca="false">C17+C18</f>
        <v>211100</v>
      </c>
    </row>
    <row r="20" customFormat="false" ht="15" hidden="false" customHeight="true" outlineLevel="0" collapsed="false">
      <c r="A20" s="6" t="s">
        <v>68</v>
      </c>
      <c r="B20" s="30" t="n">
        <f aca="false">B17/B14</f>
        <v>0.369591836734694</v>
      </c>
      <c r="C20" s="30" t="n">
        <f aca="false">C17/C14</f>
        <v>0.378405797101449</v>
      </c>
    </row>
    <row r="22" customFormat="false" ht="15" hidden="false" customHeight="true" outlineLevel="0" collapsed="false">
      <c r="A22" s="26" t="s">
        <v>69</v>
      </c>
      <c r="B22" s="26"/>
      <c r="C22" s="26"/>
    </row>
    <row r="23" customFormat="false" ht="15" hidden="false" customHeight="true" outlineLevel="0" collapsed="false">
      <c r="A23" s="31" t="s">
        <v>70</v>
      </c>
      <c r="B23" s="31"/>
      <c r="C23" s="31"/>
    </row>
  </sheetData>
  <mergeCells count="5">
    <mergeCell ref="A1:C1"/>
    <mergeCell ref="A2:C2"/>
    <mergeCell ref="A4:C4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2026-05-31T18:26:18Z</dcterms:created>
  <dc:creator>openpyxl</dc:creator>
  <dc:description/>
  <dc:language>en-US</dc:language>
  <cp:lastModifiedBy/>
  <dcterms:modified xsi:type="dcterms:W3CDTF">2026-06-09T22:04:03Z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